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ee9a504b4a53f8a/Documents/"/>
    </mc:Choice>
  </mc:AlternateContent>
  <xr:revisionPtr revIDLastSave="0" documentId="8_{6268BF01-EF38-42A8-B15C-3FA7E3A4CCC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4" r:id="rId2"/>
    <sheet name="Sheet3" sheetId="5" r:id="rId3"/>
    <sheet name="Sheet4" sheetId="6" r:id="rId4"/>
    <sheet name="Sheet5" sheetId="7" r:id="rId5"/>
    <sheet name="Sheet6" sheetId="8" r:id="rId6"/>
    <sheet name="Sheet7" sheetId="9" r:id="rId7"/>
  </sheets>
  <definedNames>
    <definedName name="_xlnm._FilterDatabase" localSheetId="0" hidden="1">Sheet1!$A$1:$G$51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9" l="1"/>
  <c r="D3" i="9"/>
  <c r="D2" i="9"/>
  <c r="E7" i="8"/>
  <c r="E4" i="8"/>
  <c r="D4" i="8"/>
  <c r="C4" i="8"/>
  <c r="E3" i="8"/>
  <c r="D3" i="8"/>
  <c r="C3" i="8"/>
  <c r="E2" i="8"/>
  <c r="D2" i="8"/>
  <c r="C2" i="8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C58" i="1"/>
</calcChain>
</file>

<file path=xl/sharedStrings.xml><?xml version="1.0" encoding="utf-8"?>
<sst xmlns="http://schemas.openxmlformats.org/spreadsheetml/2006/main" count="245" uniqueCount="113">
  <si>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</si>
  <si>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</si>
  <si>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</si>
  <si>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</si>
  <si>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</si>
  <si>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</si>
  <si>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</si>
  <si>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</si>
  <si>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</si>
  <si>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</si>
  <si>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</si>
  <si>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</si>
  <si>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</si>
  <si>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</si>
  <si>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</si>
  <si>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</si>
  <si>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</si>
  <si>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</si>
  <si>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</si>
  <si>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</si>
  <si>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</si>
  <si>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</si>
  <si>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</si>
  <si>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</si>
  <si>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</si>
  <si>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</si>
  <si>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</si>
  <si>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</si>
  <si>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</si>
  <si>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</si>
  <si>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</si>
  <si>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</si>
  <si>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</si>
  <si>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</si>
  <si>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</si>
  <si>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</si>
  <si>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</si>
  <si>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</si>
  <si>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</si>
  <si>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</si>
  <si>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</si>
  <si>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</si>
  <si>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</si>
  <si>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</si>
  <si>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</si>
  <si>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</si>
  <si>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</si>
  <si>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</si>
  <si>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</si>
  <si>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</si>
  <si>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</si>
  <si>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</si>
  <si>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</si>
  <si>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</si>
  <si>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</si>
  <si>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</si>
  <si>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</si>
  <si>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</si>
  <si>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</si>
  <si>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</si>
  <si>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</si>
  <si>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</si>
  <si>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</si>
  <si>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</si>
  <si>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</si>
  <si>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</si>
  <si>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</si>
  <si>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</si>
  <si>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</si>
  <si>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</si>
  <si>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</si>
  <si>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</si>
  <si>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</si>
  <si>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</si>
  <si>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</si>
  <si>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</si>
  <si>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</si>
  <si>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</si>
  <si>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</si>
  <si>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</si>
  <si>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</si>
  <si>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</si>
  <si>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</si>
  <si>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</si>
  <si>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</si>
  <si>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</si>
  <si>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</si>
  <si>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</si>
  <si>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</si>
  <si>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</si>
  <si>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</si>
  <si>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</si>
  <si>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No. of Customer names are recorded</t>
  </si>
  <si>
    <t>Total Sales</t>
  </si>
  <si>
    <t>Row Labels</t>
  </si>
  <si>
    <t>Grand Total</t>
  </si>
  <si>
    <t>Sum of Total Sales</t>
  </si>
  <si>
    <t>Vehicle</t>
  </si>
  <si>
    <t>Price</t>
  </si>
  <si>
    <t>Relative Referencing</t>
  </si>
  <si>
    <t>Absolute Referencing</t>
  </si>
  <si>
    <t>Mixed Referencing</t>
  </si>
  <si>
    <t>Tax Rate</t>
  </si>
  <si>
    <t>Car</t>
  </si>
  <si>
    <t xml:space="preserve">Bicycle </t>
  </si>
  <si>
    <t>Auto-Rickshaw</t>
  </si>
  <si>
    <t>Total Sale of Car and Bicycle</t>
  </si>
  <si>
    <t>Item</t>
  </si>
  <si>
    <t>Sales</t>
  </si>
  <si>
    <t>Average Sales</t>
  </si>
  <si>
    <t>Item A</t>
  </si>
  <si>
    <t>Item B</t>
  </si>
  <si>
    <t>Item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</si>
</sst>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7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(1).xlsx]Sheet4!PivotTable2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D-4D27-B715-619B3B35C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186991"/>
        <c:axId val="1291186511"/>
      </c:barChart>
      <c:catAx>
        <c:axId val="129118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86511"/>
        <c:crosses val="autoZero"/>
        <c:auto val="1"/>
        <c:lblAlgn val="ctr"/>
        <c:lblOffset val="100"/>
        <c:noMultiLvlLbl val="0"/>
      </c:catAx>
      <c:valAx>
        <c:axId val="129118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8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(1).xlsx]Sheet5!PivotTable3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</a:t>
            </a:r>
            <a:r>
              <a:rPr lang="en-US" baseline="0"/>
              <a:t>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Sheet5!$A$4:$A$54</c:f>
              <c:strCache>
                <c:ptCount val="50"/>
                <c:pt idx="0">
                  <c:v>13-01-2024</c:v>
                </c:pt>
                <c:pt idx="1">
                  <c:v>13-02-2024</c:v>
                </c:pt>
                <c:pt idx="2">
                  <c:v>14-02-2024</c:v>
                </c:pt>
                <c:pt idx="3">
                  <c:v>15-01-2024</c:v>
                </c:pt>
                <c:pt idx="4">
                  <c:v>16-02-2024</c:v>
                </c:pt>
                <c:pt idx="5">
                  <c:v>17-01-2024</c:v>
                </c:pt>
                <c:pt idx="6">
                  <c:v>17-02-2024</c:v>
                </c:pt>
                <c:pt idx="7">
                  <c:v>18-01-2024</c:v>
                </c:pt>
                <c:pt idx="8">
                  <c:v>18-02-2024</c:v>
                </c:pt>
                <c:pt idx="9">
                  <c:v>19-01-2024</c:v>
                </c:pt>
                <c:pt idx="10">
                  <c:v>19-02-2024</c:v>
                </c:pt>
                <c:pt idx="11">
                  <c:v>20-01-2024</c:v>
                </c:pt>
                <c:pt idx="12">
                  <c:v>21-02-2024</c:v>
                </c:pt>
                <c:pt idx="13">
                  <c:v>22-01-2024</c:v>
                </c:pt>
                <c:pt idx="14">
                  <c:v>22-02-2024</c:v>
                </c:pt>
                <c:pt idx="15">
                  <c:v>23-01-2024</c:v>
                </c:pt>
                <c:pt idx="16">
                  <c:v>23-02-2024</c:v>
                </c:pt>
                <c:pt idx="17">
                  <c:v>24-01-2024</c:v>
                </c:pt>
                <c:pt idx="18">
                  <c:v>25-02-2024</c:v>
                </c:pt>
                <c:pt idx="19">
                  <c:v>26-01-2024</c:v>
                </c:pt>
                <c:pt idx="20">
                  <c:v>26-02-2024</c:v>
                </c:pt>
                <c:pt idx="21">
                  <c:v>27-02-2024</c:v>
                </c:pt>
                <c:pt idx="22">
                  <c:v>28-01-2024</c:v>
                </c:pt>
                <c:pt idx="23">
                  <c:v>28-02-2024</c:v>
                </c:pt>
                <c:pt idx="24">
                  <c:v>29-01-2024</c:v>
                </c:pt>
                <c:pt idx="25">
                  <c:v>30-01-2024</c:v>
                </c:pt>
                <c:pt idx="26">
                  <c:v>1/2/2024</c:v>
                </c:pt>
                <c:pt idx="27">
                  <c:v>1/3/2024</c:v>
                </c:pt>
                <c:pt idx="28">
                  <c:v>2/2/2024</c:v>
                </c:pt>
                <c:pt idx="29">
                  <c:v>2/3/2024</c:v>
                </c:pt>
                <c:pt idx="30">
                  <c:v>3/2/2024</c:v>
                </c:pt>
                <c:pt idx="31">
                  <c:v>3/3/2024</c:v>
                </c:pt>
                <c:pt idx="32">
                  <c:v>4/2/2024</c:v>
                </c:pt>
                <c:pt idx="33">
                  <c:v>4/3/2024</c:v>
                </c:pt>
                <c:pt idx="34">
                  <c:v>5/1/2024</c:v>
                </c:pt>
                <c:pt idx="35">
                  <c:v>5/3/2024</c:v>
                </c:pt>
                <c:pt idx="36">
                  <c:v>6/1/2024</c:v>
                </c:pt>
                <c:pt idx="37">
                  <c:v>6/2/2024</c:v>
                </c:pt>
                <c:pt idx="38">
                  <c:v>6/3/2024</c:v>
                </c:pt>
                <c:pt idx="39">
                  <c:v>7/1/2024</c:v>
                </c:pt>
                <c:pt idx="40">
                  <c:v>7/2/2024</c:v>
                </c:pt>
                <c:pt idx="41">
                  <c:v>7/3/2024</c:v>
                </c:pt>
                <c:pt idx="42">
                  <c:v>8/1/2024</c:v>
                </c:pt>
                <c:pt idx="43">
                  <c:v>8/2/2024</c:v>
                </c:pt>
                <c:pt idx="44">
                  <c:v>8/3/2024</c:v>
                </c:pt>
                <c:pt idx="45">
                  <c:v>9/2/2024</c:v>
                </c:pt>
                <c:pt idx="46">
                  <c:v>10/1/2024</c:v>
                </c:pt>
                <c:pt idx="47">
                  <c:v>10/2/2024</c:v>
                </c:pt>
                <c:pt idx="48">
                  <c:v>11/1/2024</c:v>
                </c:pt>
                <c:pt idx="49">
                  <c:v>12/2/2024</c:v>
                </c:pt>
              </c:strCache>
            </c:strRef>
          </c:cat>
          <c:val>
            <c:numRef>
              <c:f>Sheet5!$B$4:$B$54</c:f>
              <c:numCache>
                <c:formatCode>General</c:formatCode>
                <c:ptCount val="50"/>
                <c:pt idx="0">
                  <c:v>200</c:v>
                </c:pt>
                <c:pt idx="1">
                  <c:v>320</c:v>
                </c:pt>
                <c:pt idx="2">
                  <c:v>250</c:v>
                </c:pt>
                <c:pt idx="3">
                  <c:v>180</c:v>
                </c:pt>
                <c:pt idx="4">
                  <c:v>90</c:v>
                </c:pt>
                <c:pt idx="5">
                  <c:v>550</c:v>
                </c:pt>
                <c:pt idx="6">
                  <c:v>176</c:v>
                </c:pt>
                <c:pt idx="7">
                  <c:v>400</c:v>
                </c:pt>
                <c:pt idx="8">
                  <c:v>850</c:v>
                </c:pt>
                <c:pt idx="9">
                  <c:v>200</c:v>
                </c:pt>
                <c:pt idx="10">
                  <c:v>190</c:v>
                </c:pt>
                <c:pt idx="11">
                  <c:v>280</c:v>
                </c:pt>
                <c:pt idx="12">
                  <c:v>375</c:v>
                </c:pt>
                <c:pt idx="13">
                  <c:v>700</c:v>
                </c:pt>
                <c:pt idx="14">
                  <c:v>140</c:v>
                </c:pt>
                <c:pt idx="15">
                  <c:v>280</c:v>
                </c:pt>
                <c:pt idx="16">
                  <c:v>192</c:v>
                </c:pt>
                <c:pt idx="17">
                  <c:v>300</c:v>
                </c:pt>
                <c:pt idx="18">
                  <c:v>800</c:v>
                </c:pt>
                <c:pt idx="19">
                  <c:v>125</c:v>
                </c:pt>
                <c:pt idx="20">
                  <c:v>270</c:v>
                </c:pt>
                <c:pt idx="21">
                  <c:v>525</c:v>
                </c:pt>
                <c:pt idx="22">
                  <c:v>160</c:v>
                </c:pt>
                <c:pt idx="23">
                  <c:v>150</c:v>
                </c:pt>
                <c:pt idx="24">
                  <c:v>500</c:v>
                </c:pt>
                <c:pt idx="25">
                  <c:v>150</c:v>
                </c:pt>
                <c:pt idx="26">
                  <c:v>450</c:v>
                </c:pt>
                <c:pt idx="27">
                  <c:v>208</c:v>
                </c:pt>
                <c:pt idx="28">
                  <c:v>450</c:v>
                </c:pt>
                <c:pt idx="29">
                  <c:v>700</c:v>
                </c:pt>
                <c:pt idx="30">
                  <c:v>175</c:v>
                </c:pt>
                <c:pt idx="31">
                  <c:v>200</c:v>
                </c:pt>
                <c:pt idx="32">
                  <c:v>240</c:v>
                </c:pt>
                <c:pt idx="33">
                  <c:v>425</c:v>
                </c:pt>
                <c:pt idx="34">
                  <c:v>500</c:v>
                </c:pt>
                <c:pt idx="35">
                  <c:v>95</c:v>
                </c:pt>
                <c:pt idx="36">
                  <c:v>200</c:v>
                </c:pt>
                <c:pt idx="37">
                  <c:v>550</c:v>
                </c:pt>
                <c:pt idx="38">
                  <c:v>256</c:v>
                </c:pt>
                <c:pt idx="39">
                  <c:v>375</c:v>
                </c:pt>
                <c:pt idx="40">
                  <c:v>140</c:v>
                </c:pt>
                <c:pt idx="41">
                  <c:v>600</c:v>
                </c:pt>
                <c:pt idx="42">
                  <c:v>250</c:v>
                </c:pt>
                <c:pt idx="43">
                  <c:v>400</c:v>
                </c:pt>
                <c:pt idx="44">
                  <c:v>250</c:v>
                </c:pt>
                <c:pt idx="45">
                  <c:v>110</c:v>
                </c:pt>
                <c:pt idx="46">
                  <c:v>150</c:v>
                </c:pt>
                <c:pt idx="47">
                  <c:v>216</c:v>
                </c:pt>
                <c:pt idx="48">
                  <c:v>600</c:v>
                </c:pt>
                <c:pt idx="49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7-4BE3-8F7C-DFE10F7C5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072959"/>
        <c:axId val="1091071519"/>
      </c:lineChart>
      <c:catAx>
        <c:axId val="109107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071519"/>
        <c:crosses val="autoZero"/>
        <c:auto val="1"/>
        <c:lblAlgn val="ctr"/>
        <c:lblOffset val="100"/>
        <c:noMultiLvlLbl val="0"/>
      </c:catAx>
      <c:valAx>
        <c:axId val="109107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07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10</xdr:row>
      <xdr:rowOff>121920</xdr:rowOff>
    </xdr:from>
    <xdr:to>
      <xdr:col>8</xdr:col>
      <xdr:colOff>45720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2BE8F-8BF6-74D8-AF2D-EF1BAE7DD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6</xdr:row>
      <xdr:rowOff>22860</xdr:rowOff>
    </xdr:from>
    <xdr:to>
      <xdr:col>14</xdr:col>
      <xdr:colOff>30480</xdr:colOff>
      <xdr:row>23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B00B8-14DF-6C3F-71DD-BBE2AE322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35.95795960648" createdVersion="8" refreshedVersion="8" minRefreshableVersion="3" recordCount="50" xr:uid="{4ED7B028-9527-4A1D-B6B5-7596CAC81D67}">
  <cacheSource type="worksheet">
    <worksheetSource ref="A1:E51" sheet="Sheet2"/>
  </cacheSource>
  <cacheFields count="5"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35.961247916668" createdVersion="8" refreshedVersion="8" minRefreshableVersion="3" recordCount="50" xr:uid="{C56D24CF-6A9E-45FE-8EE6-7389012AB882}">
  <cacheSource type="worksheet">
    <worksheetSource ref="A1:H51" sheet="Sheet1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 count="50">
        <d v="2024-05-01T00:00:00"/>
        <d v="2024-06-01T00:00:00"/>
        <d v="2024-07-01T00:00:00"/>
        <d v="2024-08-01T00:00:00"/>
        <d v="2024-10-01T00:00:00"/>
        <d v="2024-11-01T00:00:00"/>
        <s v="13-01-2024"/>
        <s v="15-01-2024"/>
        <s v="17-01-2024"/>
        <s v="18-01-2024"/>
        <s v="19-01-2024"/>
        <s v="20-01-2024"/>
        <s v="22-01-2024"/>
        <s v="23-01-2024"/>
        <s v="24-01-2024"/>
        <s v="26-01-2024"/>
        <s v="28-01-2024"/>
        <s v="29-01-2024"/>
        <s v="30-01-2024"/>
        <d v="2024-01-02T00:00:00"/>
        <d v="2024-02-02T00:00:00"/>
        <d v="2024-03-02T00:00:00"/>
        <d v="2024-04-02T00:00:00"/>
        <d v="2024-06-02T00:00:00"/>
        <d v="2024-07-02T00:00:00"/>
        <d v="2024-08-02T00:00:00"/>
        <d v="2024-09-02T00:00:00"/>
        <d v="2024-10-02T00:00:00"/>
        <d v="2024-12-02T00:00:00"/>
        <s v="13-02-2024"/>
        <s v="14-02-2024"/>
        <s v="16-02-2024"/>
        <s v="17-02-2024"/>
        <s v="18-02-2024"/>
        <s v="19-02-2024"/>
        <s v="21-02-2024"/>
        <s v="22-02-2024"/>
        <s v="23-02-2024"/>
        <s v="25-02-2024"/>
        <s v="26-02-2024"/>
        <s v="27-02-2024"/>
        <s v="28-02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</sharedItems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10"/>
    <n v="50"/>
    <n v="500"/>
  </r>
  <r>
    <x v="1"/>
    <x v="1"/>
    <n v="20"/>
    <n v="10"/>
    <n v="200"/>
  </r>
  <r>
    <x v="2"/>
    <x v="2"/>
    <n v="15"/>
    <n v="25"/>
    <n v="375"/>
  </r>
  <r>
    <x v="3"/>
    <x v="0"/>
    <n v="5"/>
    <n v="50"/>
    <n v="250"/>
  </r>
  <r>
    <x v="0"/>
    <x v="3"/>
    <n v="30"/>
    <n v="5"/>
    <n v="150"/>
  </r>
  <r>
    <x v="1"/>
    <x v="0"/>
    <n v="12"/>
    <n v="50"/>
    <n v="600"/>
  </r>
  <r>
    <x v="2"/>
    <x v="4"/>
    <n v="25"/>
    <n v="8"/>
    <n v="200"/>
  </r>
  <r>
    <x v="3"/>
    <x v="1"/>
    <n v="18"/>
    <n v="10"/>
    <n v="180"/>
  </r>
  <r>
    <x v="0"/>
    <x v="2"/>
    <n v="22"/>
    <n v="25"/>
    <n v="550"/>
  </r>
  <r>
    <x v="1"/>
    <x v="0"/>
    <n v="8"/>
    <n v="50"/>
    <n v="400"/>
  </r>
  <r>
    <x v="2"/>
    <x v="3"/>
    <n v="40"/>
    <n v="5"/>
    <n v="200"/>
  </r>
  <r>
    <x v="3"/>
    <x v="4"/>
    <n v="35"/>
    <n v="8"/>
    <n v="280"/>
  </r>
  <r>
    <x v="0"/>
    <x v="0"/>
    <n v="14"/>
    <n v="50"/>
    <n v="700"/>
  </r>
  <r>
    <x v="1"/>
    <x v="1"/>
    <n v="28"/>
    <n v="10"/>
    <n v="280"/>
  </r>
  <r>
    <x v="2"/>
    <x v="2"/>
    <n v="12"/>
    <n v="25"/>
    <n v="300"/>
  </r>
  <r>
    <x v="3"/>
    <x v="3"/>
    <n v="25"/>
    <n v="5"/>
    <n v="125"/>
  </r>
  <r>
    <x v="0"/>
    <x v="4"/>
    <n v="20"/>
    <n v="8"/>
    <n v="160"/>
  </r>
  <r>
    <x v="1"/>
    <x v="0"/>
    <n v="10"/>
    <n v="50"/>
    <n v="500"/>
  </r>
  <r>
    <x v="2"/>
    <x v="1"/>
    <n v="15"/>
    <n v="10"/>
    <n v="150"/>
  </r>
  <r>
    <x v="3"/>
    <x v="2"/>
    <n v="18"/>
    <n v="25"/>
    <n v="450"/>
  </r>
  <r>
    <x v="0"/>
    <x v="0"/>
    <n v="9"/>
    <n v="50"/>
    <n v="450"/>
  </r>
  <r>
    <x v="1"/>
    <x v="3"/>
    <n v="35"/>
    <n v="5"/>
    <n v="175"/>
  </r>
  <r>
    <x v="2"/>
    <x v="4"/>
    <n v="30"/>
    <n v="8"/>
    <n v="240"/>
  </r>
  <r>
    <x v="3"/>
    <x v="0"/>
    <n v="11"/>
    <n v="50"/>
    <n v="550"/>
  </r>
  <r>
    <x v="0"/>
    <x v="1"/>
    <n v="14"/>
    <n v="10"/>
    <n v="140"/>
  </r>
  <r>
    <x v="1"/>
    <x v="2"/>
    <n v="16"/>
    <n v="25"/>
    <n v="400"/>
  </r>
  <r>
    <x v="2"/>
    <x v="3"/>
    <n v="22"/>
    <n v="5"/>
    <n v="110"/>
  </r>
  <r>
    <x v="3"/>
    <x v="4"/>
    <n v="27"/>
    <n v="8"/>
    <n v="216"/>
  </r>
  <r>
    <x v="0"/>
    <x v="0"/>
    <n v="13"/>
    <n v="50"/>
    <n v="650"/>
  </r>
  <r>
    <x v="1"/>
    <x v="1"/>
    <n v="32"/>
    <n v="10"/>
    <n v="320"/>
  </r>
  <r>
    <x v="2"/>
    <x v="2"/>
    <n v="10"/>
    <n v="25"/>
    <n v="250"/>
  </r>
  <r>
    <x v="3"/>
    <x v="3"/>
    <n v="18"/>
    <n v="5"/>
    <n v="90"/>
  </r>
  <r>
    <x v="0"/>
    <x v="4"/>
    <n v="22"/>
    <n v="8"/>
    <n v="176"/>
  </r>
  <r>
    <x v="1"/>
    <x v="0"/>
    <n v="17"/>
    <n v="50"/>
    <n v="850"/>
  </r>
  <r>
    <x v="2"/>
    <x v="1"/>
    <n v="19"/>
    <n v="10"/>
    <n v="190"/>
  </r>
  <r>
    <x v="3"/>
    <x v="2"/>
    <n v="15"/>
    <n v="25"/>
    <n v="375"/>
  </r>
  <r>
    <x v="0"/>
    <x v="3"/>
    <n v="28"/>
    <n v="5"/>
    <n v="140"/>
  </r>
  <r>
    <x v="1"/>
    <x v="4"/>
    <n v="24"/>
    <n v="8"/>
    <n v="192"/>
  </r>
  <r>
    <x v="2"/>
    <x v="0"/>
    <n v="16"/>
    <n v="50"/>
    <n v="800"/>
  </r>
  <r>
    <x v="3"/>
    <x v="1"/>
    <n v="27"/>
    <n v="10"/>
    <n v="270"/>
  </r>
  <r>
    <x v="0"/>
    <x v="2"/>
    <n v="21"/>
    <n v="25"/>
    <n v="525"/>
  </r>
  <r>
    <x v="1"/>
    <x v="3"/>
    <n v="30"/>
    <n v="5"/>
    <n v="150"/>
  </r>
  <r>
    <x v="2"/>
    <x v="4"/>
    <n v="26"/>
    <n v="8"/>
    <n v="208"/>
  </r>
  <r>
    <x v="3"/>
    <x v="0"/>
    <n v="14"/>
    <n v="50"/>
    <n v="700"/>
  </r>
  <r>
    <x v="0"/>
    <x v="1"/>
    <n v="20"/>
    <n v="10"/>
    <n v="200"/>
  </r>
  <r>
    <x v="1"/>
    <x v="2"/>
    <n v="17"/>
    <n v="25"/>
    <n v="425"/>
  </r>
  <r>
    <x v="2"/>
    <x v="3"/>
    <n v="19"/>
    <n v="5"/>
    <n v="95"/>
  </r>
  <r>
    <x v="3"/>
    <x v="4"/>
    <n v="32"/>
    <n v="8"/>
    <n v="256"/>
  </r>
  <r>
    <x v="0"/>
    <x v="0"/>
    <n v="12"/>
    <n v="50"/>
    <n v="600"/>
  </r>
  <r>
    <x v="1"/>
    <x v="1"/>
    <n v="25"/>
    <n v="10"/>
    <n v="2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x v="0"/>
    <n v="500"/>
  </r>
  <r>
    <n v="1002"/>
    <s v="Neha Verma"/>
    <s v="South"/>
    <x v="1"/>
    <n v="20"/>
    <n v="10"/>
    <x v="1"/>
    <n v="200"/>
  </r>
  <r>
    <n v="1003"/>
    <s v="Rahul Singh"/>
    <s v="East"/>
    <x v="2"/>
    <n v="15"/>
    <n v="25"/>
    <x v="2"/>
    <n v="375"/>
  </r>
  <r>
    <n v="1004"/>
    <s v="Pooja Mehta"/>
    <s v="West"/>
    <x v="0"/>
    <n v="5"/>
    <n v="50"/>
    <x v="3"/>
    <n v="250"/>
  </r>
  <r>
    <n v="1005"/>
    <s v="Ankit Jain"/>
    <s v="North"/>
    <x v="3"/>
    <n v="30"/>
    <n v="5"/>
    <x v="4"/>
    <n v="150"/>
  </r>
  <r>
    <n v="1006"/>
    <s v="Sneha Patel"/>
    <s v="South"/>
    <x v="0"/>
    <n v="12"/>
    <n v="50"/>
    <x v="5"/>
    <n v="600"/>
  </r>
  <r>
    <n v="1007"/>
    <s v="Vikas Gupta"/>
    <s v="East"/>
    <x v="4"/>
    <n v="25"/>
    <n v="8"/>
    <x v="6"/>
    <n v="200"/>
  </r>
  <r>
    <n v="1008"/>
    <s v="Meera Nair"/>
    <s v="West"/>
    <x v="1"/>
    <n v="18"/>
    <n v="10"/>
    <x v="7"/>
    <n v="180"/>
  </r>
  <r>
    <n v="1009"/>
    <s v="Anjali Rao"/>
    <s v="North"/>
    <x v="2"/>
    <n v="22"/>
    <n v="25"/>
    <x v="8"/>
    <n v="550"/>
  </r>
  <r>
    <n v="1010"/>
    <s v="Manoj Das"/>
    <s v="South"/>
    <x v="0"/>
    <n v="8"/>
    <n v="50"/>
    <x v="9"/>
    <n v="400"/>
  </r>
  <r>
    <n v="1011"/>
    <s v="Ritika Sen"/>
    <s v="East"/>
    <x v="3"/>
    <n v="40"/>
    <n v="5"/>
    <x v="10"/>
    <n v="200"/>
  </r>
  <r>
    <n v="1012"/>
    <s v="Karan Malhotra"/>
    <s v="West"/>
    <x v="4"/>
    <n v="35"/>
    <n v="8"/>
    <x v="11"/>
    <n v="280"/>
  </r>
  <r>
    <n v="1013"/>
    <s v="Aryan Joshi"/>
    <s v="North"/>
    <x v="0"/>
    <n v="14"/>
    <n v="50"/>
    <x v="12"/>
    <n v="700"/>
  </r>
  <r>
    <n v="1014"/>
    <s v="Divya Kapoor"/>
    <s v="South"/>
    <x v="1"/>
    <n v="28"/>
    <n v="10"/>
    <x v="13"/>
    <n v="280"/>
  </r>
  <r>
    <n v="1015"/>
    <s v="Sahil Arora"/>
    <s v="East"/>
    <x v="2"/>
    <n v="12"/>
    <n v="25"/>
    <x v="14"/>
    <n v="300"/>
  </r>
  <r>
    <n v="1016"/>
    <s v="Muskan Jain"/>
    <s v="West"/>
    <x v="3"/>
    <n v="25"/>
    <n v="5"/>
    <x v="15"/>
    <n v="125"/>
  </r>
  <r>
    <n v="1017"/>
    <s v="Rohan Gupta"/>
    <s v="North"/>
    <x v="4"/>
    <n v="20"/>
    <n v="8"/>
    <x v="16"/>
    <n v="160"/>
  </r>
  <r>
    <n v="1018"/>
    <s v="Nidhi Sharma"/>
    <s v="South"/>
    <x v="0"/>
    <n v="10"/>
    <n v="50"/>
    <x v="17"/>
    <n v="500"/>
  </r>
  <r>
    <n v="1019"/>
    <s v="Tarun Verma"/>
    <s v="East"/>
    <x v="1"/>
    <n v="15"/>
    <n v="10"/>
    <x v="18"/>
    <n v="150"/>
  </r>
  <r>
    <n v="1020"/>
    <s v="Simran Kaur"/>
    <s v="West"/>
    <x v="2"/>
    <n v="18"/>
    <n v="25"/>
    <x v="19"/>
    <n v="450"/>
  </r>
  <r>
    <n v="1021"/>
    <s v="Deepak Rao"/>
    <s v="North"/>
    <x v="0"/>
    <n v="9"/>
    <n v="50"/>
    <x v="20"/>
    <n v="450"/>
  </r>
  <r>
    <n v="1022"/>
    <s v="Payal Mehta"/>
    <s v="South"/>
    <x v="3"/>
    <n v="35"/>
    <n v="5"/>
    <x v="21"/>
    <n v="175"/>
  </r>
  <r>
    <n v="1023"/>
    <s v="Aditya Singh"/>
    <s v="East"/>
    <x v="4"/>
    <n v="30"/>
    <n v="8"/>
    <x v="22"/>
    <n v="240"/>
  </r>
  <r>
    <n v="1024"/>
    <s v="Shreya Nair"/>
    <s v="West"/>
    <x v="0"/>
    <n v="11"/>
    <n v="50"/>
    <x v="23"/>
    <n v="550"/>
  </r>
  <r>
    <n v="1025"/>
    <s v="Sanjay Kumar"/>
    <s v="North"/>
    <x v="1"/>
    <n v="14"/>
    <n v="10"/>
    <x v="24"/>
    <n v="140"/>
  </r>
  <r>
    <n v="1026"/>
    <s v="Aarti Sharma"/>
    <s v="South"/>
    <x v="2"/>
    <n v="16"/>
    <n v="25"/>
    <x v="25"/>
    <n v="400"/>
  </r>
  <r>
    <n v="1027"/>
    <s v="Rajesh Patel"/>
    <s v="East"/>
    <x v="3"/>
    <n v="22"/>
    <n v="5"/>
    <x v="26"/>
    <n v="110"/>
  </r>
  <r>
    <n v="1028"/>
    <s v="Preeti Joshi"/>
    <s v="West"/>
    <x v="4"/>
    <n v="27"/>
    <n v="8"/>
    <x v="27"/>
    <n v="216"/>
  </r>
  <r>
    <n v="1029"/>
    <s v="Anurag Mishra"/>
    <s v="North"/>
    <x v="0"/>
    <n v="13"/>
    <n v="50"/>
    <x v="28"/>
    <n v="650"/>
  </r>
  <r>
    <n v="1030"/>
    <s v="Sanya Kapoor"/>
    <s v="South"/>
    <x v="1"/>
    <n v="32"/>
    <n v="10"/>
    <x v="29"/>
    <n v="320"/>
  </r>
  <r>
    <n v="1031"/>
    <s v="Harsh Yadav"/>
    <s v="East"/>
    <x v="2"/>
    <n v="10"/>
    <n v="25"/>
    <x v="30"/>
    <n v="250"/>
  </r>
  <r>
    <n v="1032"/>
    <s v="Kajal Rani"/>
    <s v="West"/>
    <x v="3"/>
    <n v="18"/>
    <n v="5"/>
    <x v="31"/>
    <n v="90"/>
  </r>
  <r>
    <n v="1033"/>
    <s v="Varun Sharma"/>
    <s v="North"/>
    <x v="4"/>
    <n v="22"/>
    <n v="8"/>
    <x v="32"/>
    <n v="176"/>
  </r>
  <r>
    <n v="1034"/>
    <s v="Swati Arora"/>
    <s v="South"/>
    <x v="0"/>
    <n v="17"/>
    <n v="50"/>
    <x v="33"/>
    <n v="850"/>
  </r>
  <r>
    <n v="1035"/>
    <s v="Akhil Jain"/>
    <s v="East"/>
    <x v="1"/>
    <n v="19"/>
    <n v="10"/>
    <x v="34"/>
    <n v="190"/>
  </r>
  <r>
    <n v="1036"/>
    <s v="Priyanka Das"/>
    <s v="West"/>
    <x v="2"/>
    <n v="15"/>
    <n v="25"/>
    <x v="35"/>
    <n v="375"/>
  </r>
  <r>
    <n v="1037"/>
    <s v="Ravi Nair"/>
    <s v="North"/>
    <x v="3"/>
    <n v="28"/>
    <n v="5"/>
    <x v="36"/>
    <n v="140"/>
  </r>
  <r>
    <n v="1038"/>
    <s v="Komal Singh"/>
    <s v="South"/>
    <x v="4"/>
    <n v="24"/>
    <n v="8"/>
    <x v="37"/>
    <n v="192"/>
  </r>
  <r>
    <n v="1039"/>
    <s v="Ayesha Khan"/>
    <s v="East"/>
    <x v="0"/>
    <n v="16"/>
    <n v="50"/>
    <x v="38"/>
    <n v="800"/>
  </r>
  <r>
    <n v="1040"/>
    <s v="Arjun Mehta"/>
    <s v="West"/>
    <x v="1"/>
    <n v="27"/>
    <n v="10"/>
    <x v="39"/>
    <n v="270"/>
  </r>
  <r>
    <n v="1041"/>
    <s v="Sonali Gupta"/>
    <s v="North"/>
    <x v="2"/>
    <n v="21"/>
    <n v="25"/>
    <x v="40"/>
    <n v="525"/>
  </r>
  <r>
    <n v="1042"/>
    <s v="Neeraj Kapoor"/>
    <s v="South"/>
    <x v="3"/>
    <n v="30"/>
    <n v="5"/>
    <x v="41"/>
    <n v="150"/>
  </r>
  <r>
    <n v="1043"/>
    <s v="Shruti Sharma"/>
    <s v="East"/>
    <x v="4"/>
    <n v="26"/>
    <n v="8"/>
    <x v="42"/>
    <n v="208"/>
  </r>
  <r>
    <n v="1044"/>
    <s v="Yash Arora"/>
    <s v="West"/>
    <x v="0"/>
    <n v="14"/>
    <n v="50"/>
    <x v="43"/>
    <n v="700"/>
  </r>
  <r>
    <n v="1045"/>
    <s v="Manish Das"/>
    <s v="North"/>
    <x v="1"/>
    <n v="20"/>
    <n v="10"/>
    <x v="44"/>
    <n v="200"/>
  </r>
  <r>
    <n v="1046"/>
    <s v="Rupal Nair"/>
    <s v="South"/>
    <x v="2"/>
    <n v="17"/>
    <n v="25"/>
    <x v="45"/>
    <n v="425"/>
  </r>
  <r>
    <n v="1047"/>
    <s v="Sonia Verma"/>
    <s v="East"/>
    <x v="3"/>
    <n v="19"/>
    <n v="5"/>
    <x v="46"/>
    <n v="95"/>
  </r>
  <r>
    <n v="1048"/>
    <s v="Kunal Singh"/>
    <s v="West"/>
    <x v="4"/>
    <n v="32"/>
    <n v="8"/>
    <x v="47"/>
    <n v="256"/>
  </r>
  <r>
    <n v="1049"/>
    <s v="Ritika Jain"/>
    <s v="North"/>
    <x v="0"/>
    <n v="12"/>
    <n v="50"/>
    <x v="48"/>
    <n v="600"/>
  </r>
  <r>
    <n v="1050"/>
    <s v="Vivek Malhotra"/>
    <s v="South"/>
    <x v="1"/>
    <n v="25"/>
    <n v="10"/>
    <x v="49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B8D86-5A97-4323-8FA9-45AEC6DD30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5">
    <pivotField axis="axisPage" showAll="0">
      <items count="5">
        <item x="2"/>
        <item x="0"/>
        <item x="1"/>
        <item x="3"/>
        <item t="default"/>
      </items>
    </pivotField>
    <pivotField name="Product" axis="axisRow" showAll="0">
      <items count="6">
        <item h="1" x="4"/>
        <item h="1" x="2"/>
        <item x="0"/>
        <item h="1" x="1"/>
        <item h="1" x="3"/>
        <item t="default"/>
      </items>
    </pivotField>
    <pivotField showAll="0"/>
    <pivotField showAll="0"/>
    <pivotField dataField="1" showAll="0"/>
  </pivotFields>
  <rowFields count="1">
    <field x="1"/>
  </rowFields>
  <rowItems count="2">
    <i>
      <x v="2"/>
    </i>
    <i t="grand">
      <x/>
    </i>
  </rowItems>
  <colItems count="1">
    <i/>
  </colItems>
  <pageFields count="1">
    <pageField fld="0" item="1" hier="-1"/>
  </pageFields>
  <dataFields count="1">
    <dataField name="Sum of Total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24DB3-F948-4670-AFC3-DD4727DF77F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8">
    <pivotField showAll="0"/>
    <pivotField showAll="0"/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5015C4-DD2C-4E2B-840C-3285AAA6F72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4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>
      <items count="51">
        <item x="6"/>
        <item x="29"/>
        <item x="30"/>
        <item x="7"/>
        <item x="31"/>
        <item x="8"/>
        <item x="32"/>
        <item x="9"/>
        <item x="33"/>
        <item x="10"/>
        <item x="34"/>
        <item x="11"/>
        <item x="35"/>
        <item x="12"/>
        <item x="36"/>
        <item x="13"/>
        <item x="37"/>
        <item x="14"/>
        <item x="38"/>
        <item x="15"/>
        <item x="39"/>
        <item x="40"/>
        <item x="16"/>
        <item x="41"/>
        <item x="17"/>
        <item x="18"/>
        <item x="19"/>
        <item x="42"/>
        <item x="20"/>
        <item x="43"/>
        <item x="21"/>
        <item x="44"/>
        <item x="22"/>
        <item x="45"/>
        <item x="0"/>
        <item x="46"/>
        <item x="1"/>
        <item x="23"/>
        <item x="47"/>
        <item x="2"/>
        <item x="24"/>
        <item x="48"/>
        <item x="3"/>
        <item x="25"/>
        <item x="49"/>
        <item x="26"/>
        <item x="4"/>
        <item x="27"/>
        <item x="5"/>
        <item x="28"/>
        <item t="default"/>
      </items>
    </pivotField>
    <pivotField dataField="1" showAll="0"/>
  </pivotFields>
  <rowFields count="1">
    <field x="6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 Sales" fld="7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9"/>
  <sheetViews>
    <sheetView workbookViewId="0">
      <selection activeCell="D33" sqref="D33"/>
    </sheetView>
  </sheetViews>
  <sheetFormatPr defaultColWidth="12.6640625" defaultRowHeight="15.75" customHeight="1" x14ac:dyDescent="0.25"/>
  <cols>
    <col min="2" max="2" width="34.109375" bestFit="1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93</v>
      </c>
    </row>
    <row r="2" spans="1:8" ht="15.75" customHeight="1" x14ac:dyDescent="0.3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  <c r="H2" s="7">
        <f>E2*F2</f>
        <v>500</v>
      </c>
    </row>
    <row r="3" spans="1:8" ht="15.75" customHeight="1" x14ac:dyDescent="0.3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  <c r="H3" s="7">
        <f t="shared" ref="H3:H51" si="0">E3*F3</f>
        <v>200</v>
      </c>
    </row>
    <row r="4" spans="1:8" ht="15.75" customHeight="1" x14ac:dyDescent="0.3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  <c r="H4" s="7">
        <f t="shared" si="0"/>
        <v>375</v>
      </c>
    </row>
    <row r="5" spans="1:8" ht="15.75" customHeight="1" x14ac:dyDescent="0.3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  <c r="H5" s="7">
        <f t="shared" si="0"/>
        <v>250</v>
      </c>
    </row>
    <row r="6" spans="1:8" ht="15.75" customHeight="1" x14ac:dyDescent="0.3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  <c r="H6" s="7">
        <f t="shared" si="0"/>
        <v>150</v>
      </c>
    </row>
    <row r="7" spans="1:8" ht="15.75" customHeight="1" x14ac:dyDescent="0.3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  <c r="H7" s="7">
        <f t="shared" si="0"/>
        <v>600</v>
      </c>
    </row>
    <row r="8" spans="1:8" ht="15.75" customHeight="1" x14ac:dyDescent="0.3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  <c r="H8" s="7">
        <f t="shared" si="0"/>
        <v>200</v>
      </c>
    </row>
    <row r="9" spans="1:8" ht="15.75" customHeight="1" x14ac:dyDescent="0.3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  <c r="H9" s="7">
        <f t="shared" si="0"/>
        <v>180</v>
      </c>
    </row>
    <row r="10" spans="1:8" ht="15.75" customHeight="1" x14ac:dyDescent="0.3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  <c r="H10" s="7">
        <f t="shared" si="0"/>
        <v>550</v>
      </c>
    </row>
    <row r="11" spans="1:8" ht="15.75" customHeight="1" x14ac:dyDescent="0.3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  <c r="H11" s="7">
        <f t="shared" si="0"/>
        <v>400</v>
      </c>
    </row>
    <row r="12" spans="1:8" ht="15.75" customHeight="1" x14ac:dyDescent="0.3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  <c r="H12" s="7">
        <f t="shared" si="0"/>
        <v>200</v>
      </c>
    </row>
    <row r="13" spans="1:8" ht="15.75" customHeight="1" x14ac:dyDescent="0.3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  <c r="H13" s="7">
        <f t="shared" si="0"/>
        <v>280</v>
      </c>
    </row>
    <row r="14" spans="1:8" ht="15.75" customHeight="1" x14ac:dyDescent="0.3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  <c r="H14" s="7">
        <f t="shared" si="0"/>
        <v>700</v>
      </c>
    </row>
    <row r="15" spans="1:8" ht="15.75" customHeight="1" x14ac:dyDescent="0.3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  <c r="H15" s="7">
        <f t="shared" si="0"/>
        <v>280</v>
      </c>
    </row>
    <row r="16" spans="1:8" ht="14.4" x14ac:dyDescent="0.3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  <c r="H16" s="7">
        <f t="shared" si="0"/>
        <v>300</v>
      </c>
    </row>
    <row r="17" spans="1:8" ht="14.4" x14ac:dyDescent="0.3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  <c r="H17" s="7">
        <f t="shared" si="0"/>
        <v>125</v>
      </c>
    </row>
    <row r="18" spans="1:8" ht="14.4" x14ac:dyDescent="0.3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  <c r="H18" s="7">
        <f t="shared" si="0"/>
        <v>160</v>
      </c>
    </row>
    <row r="19" spans="1:8" ht="14.4" x14ac:dyDescent="0.3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  <c r="H19" s="7">
        <f t="shared" si="0"/>
        <v>500</v>
      </c>
    </row>
    <row r="20" spans="1:8" ht="14.4" x14ac:dyDescent="0.3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  <c r="H20" s="7">
        <f t="shared" si="0"/>
        <v>150</v>
      </c>
    </row>
    <row r="21" spans="1:8" ht="14.4" x14ac:dyDescent="0.3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  <c r="H21" s="7">
        <f t="shared" si="0"/>
        <v>450</v>
      </c>
    </row>
    <row r="22" spans="1:8" ht="14.4" x14ac:dyDescent="0.3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H22" s="7">
        <f t="shared" si="0"/>
        <v>450</v>
      </c>
    </row>
    <row r="23" spans="1:8" ht="14.4" x14ac:dyDescent="0.3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  <c r="H23" s="7">
        <f t="shared" si="0"/>
        <v>175</v>
      </c>
    </row>
    <row r="24" spans="1:8" ht="14.4" x14ac:dyDescent="0.3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  <c r="H24" s="7">
        <f t="shared" si="0"/>
        <v>240</v>
      </c>
    </row>
    <row r="25" spans="1:8" ht="14.4" x14ac:dyDescent="0.3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  <c r="H25" s="7">
        <f t="shared" si="0"/>
        <v>550</v>
      </c>
    </row>
    <row r="26" spans="1:8" ht="14.4" x14ac:dyDescent="0.3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  <c r="H26" s="7">
        <f t="shared" si="0"/>
        <v>140</v>
      </c>
    </row>
    <row r="27" spans="1:8" ht="14.4" x14ac:dyDescent="0.3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  <c r="H27" s="7">
        <f t="shared" si="0"/>
        <v>400</v>
      </c>
    </row>
    <row r="28" spans="1:8" ht="14.4" x14ac:dyDescent="0.3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  <c r="H28" s="7">
        <f t="shared" si="0"/>
        <v>110</v>
      </c>
    </row>
    <row r="29" spans="1:8" ht="14.4" x14ac:dyDescent="0.3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  <c r="H29" s="7">
        <f t="shared" si="0"/>
        <v>216</v>
      </c>
    </row>
    <row r="30" spans="1:8" ht="14.4" x14ac:dyDescent="0.3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  <c r="H30" s="7">
        <f t="shared" si="0"/>
        <v>650</v>
      </c>
    </row>
    <row r="31" spans="1:8" ht="14.4" x14ac:dyDescent="0.3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  <c r="H31" s="7">
        <f t="shared" si="0"/>
        <v>320</v>
      </c>
    </row>
    <row r="32" spans="1:8" ht="14.4" x14ac:dyDescent="0.3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  <c r="H32" s="7">
        <f t="shared" si="0"/>
        <v>250</v>
      </c>
    </row>
    <row r="33" spans="1:8" ht="14.4" x14ac:dyDescent="0.3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  <c r="H33" s="7">
        <f t="shared" si="0"/>
        <v>90</v>
      </c>
    </row>
    <row r="34" spans="1:8" ht="14.4" x14ac:dyDescent="0.3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  <c r="H34" s="7">
        <f t="shared" si="0"/>
        <v>176</v>
      </c>
    </row>
    <row r="35" spans="1:8" ht="14.4" x14ac:dyDescent="0.3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  <c r="H35" s="7">
        <f t="shared" si="0"/>
        <v>850</v>
      </c>
    </row>
    <row r="36" spans="1:8" ht="14.4" x14ac:dyDescent="0.3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  <c r="H36" s="7">
        <f t="shared" si="0"/>
        <v>190</v>
      </c>
    </row>
    <row r="37" spans="1:8" ht="14.4" x14ac:dyDescent="0.3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  <c r="H37" s="7">
        <f t="shared" si="0"/>
        <v>375</v>
      </c>
    </row>
    <row r="38" spans="1:8" ht="14.4" x14ac:dyDescent="0.3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  <c r="H38" s="7">
        <f t="shared" si="0"/>
        <v>140</v>
      </c>
    </row>
    <row r="39" spans="1:8" ht="14.4" x14ac:dyDescent="0.3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  <c r="H39" s="7">
        <f t="shared" si="0"/>
        <v>192</v>
      </c>
    </row>
    <row r="40" spans="1:8" ht="14.4" x14ac:dyDescent="0.3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  <c r="H40" s="7">
        <f t="shared" si="0"/>
        <v>800</v>
      </c>
    </row>
    <row r="41" spans="1:8" ht="14.4" x14ac:dyDescent="0.3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  <c r="H41" s="7">
        <f t="shared" si="0"/>
        <v>270</v>
      </c>
    </row>
    <row r="42" spans="1:8" ht="14.4" x14ac:dyDescent="0.3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  <c r="H42" s="7">
        <f t="shared" si="0"/>
        <v>525</v>
      </c>
    </row>
    <row r="43" spans="1:8" ht="14.4" x14ac:dyDescent="0.3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  <c r="H43" s="7">
        <f t="shared" si="0"/>
        <v>150</v>
      </c>
    </row>
    <row r="44" spans="1:8" ht="14.4" x14ac:dyDescent="0.3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  <c r="H44" s="7">
        <f t="shared" si="0"/>
        <v>208</v>
      </c>
    </row>
    <row r="45" spans="1:8" ht="14.4" x14ac:dyDescent="0.3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  <c r="H45" s="7">
        <f t="shared" si="0"/>
        <v>700</v>
      </c>
    </row>
    <row r="46" spans="1:8" ht="14.4" x14ac:dyDescent="0.3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H46" s="7">
        <f t="shared" si="0"/>
        <v>200</v>
      </c>
    </row>
    <row r="47" spans="1:8" ht="14.4" x14ac:dyDescent="0.3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  <c r="H47" s="7">
        <f t="shared" si="0"/>
        <v>425</v>
      </c>
    </row>
    <row r="48" spans="1:8" ht="14.4" x14ac:dyDescent="0.3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  <c r="H48" s="7">
        <f t="shared" si="0"/>
        <v>95</v>
      </c>
    </row>
    <row r="49" spans="1:8" ht="14.4" x14ac:dyDescent="0.3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  <c r="H49" s="7">
        <f t="shared" si="0"/>
        <v>256</v>
      </c>
    </row>
    <row r="50" spans="1:8" ht="14.4" x14ac:dyDescent="0.3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  <c r="H50" s="7">
        <f t="shared" si="0"/>
        <v>600</v>
      </c>
    </row>
    <row r="51" spans="1:8" ht="14.4" x14ac:dyDescent="0.3">
      <c r="A51" s="2">
        <v>1050</v>
      </c>
      <c r="B51" s="3" t="s">
        <v>91</v>
      </c>
      <c r="C51" s="3" t="s">
        <v>11</v>
      </c>
      <c r="D51" s="3" t="s">
        <v>12</v>
      </c>
      <c r="E51" s="2">
        <v>25</v>
      </c>
      <c r="F51" s="2">
        <v>10</v>
      </c>
      <c r="G51" s="4">
        <v>45507</v>
      </c>
      <c r="H51" s="7">
        <f t="shared" si="0"/>
        <v>250</v>
      </c>
    </row>
    <row r="52" spans="1:8" ht="14.4" x14ac:dyDescent="0.3">
      <c r="A52" s="3"/>
      <c r="B52" s="3"/>
      <c r="C52" s="3"/>
      <c r="D52" s="3"/>
      <c r="E52" s="3"/>
      <c r="F52" s="3"/>
      <c r="G52" s="3"/>
    </row>
    <row r="53" spans="1:8" ht="14.4" x14ac:dyDescent="0.3">
      <c r="A53" s="3"/>
      <c r="B53" s="3"/>
      <c r="C53" s="3"/>
      <c r="D53" s="3"/>
      <c r="E53" s="3"/>
      <c r="F53" s="3"/>
      <c r="G53" s="3"/>
    </row>
    <row r="58" spans="1:8" ht="15.75" customHeight="1" x14ac:dyDescent="0.25">
      <c r="B58" s="5" t="s">
        <v>92</v>
      </c>
      <c r="C58">
        <f>COUNTA(B2:B51)</f>
        <v>50</v>
      </c>
    </row>
    <row r="59" spans="1:8" ht="15.75" customHeight="1" x14ac:dyDescent="0.25">
      <c r="B59" s="5"/>
    </row>
  </sheetData>
  <autoFilter ref="A1:G5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9EA2-ABA9-40F1-BAC4-864CB3EEDFDB}">
  <dimension ref="A1:B5"/>
  <sheetViews>
    <sheetView workbookViewId="0">
      <selection activeCell="F8" sqref="F8"/>
    </sheetView>
  </sheetViews>
  <sheetFormatPr defaultRowHeight="13.2" x14ac:dyDescent="0.25"/>
  <cols>
    <col min="1" max="1" width="13.33203125" bestFit="1" customWidth="1"/>
    <col min="2" max="2" width="17.44140625" bestFit="1" customWidth="1"/>
  </cols>
  <sheetData>
    <row r="1" spans="1:2" x14ac:dyDescent="0.25">
      <c r="A1" s="8" t="s">
        <v>2</v>
      </c>
      <c r="B1" t="s">
        <v>8</v>
      </c>
    </row>
    <row r="3" spans="1:2" x14ac:dyDescent="0.25">
      <c r="A3" s="8" t="s">
        <v>94</v>
      </c>
      <c r="B3" t="s">
        <v>96</v>
      </c>
    </row>
    <row r="4" spans="1:2" x14ac:dyDescent="0.25">
      <c r="A4" s="9" t="s">
        <v>9</v>
      </c>
      <c r="B4">
        <v>2900</v>
      </c>
    </row>
    <row r="5" spans="1:2" x14ac:dyDescent="0.25">
      <c r="A5" s="9" t="s">
        <v>95</v>
      </c>
      <c r="B5">
        <v>2900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21FD-F475-4EB4-8841-4843AB1C61A2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1990-D6F1-4D54-A2CD-094B14395F68}">
  <dimension ref="A3:B9"/>
  <sheetViews>
    <sheetView tabSelected="1" workbookViewId="0">
      <selection activeCell="A3" sqref="A3"/>
    </sheetView>
  </sheetViews>
  <sheetFormatPr defaultRowHeight="13.2" x14ac:dyDescent="0.25"/>
  <cols>
    <col min="1" max="1" width="13.33203125" bestFit="1" customWidth="1"/>
    <col min="2" max="2" width="17.44140625" bestFit="1" customWidth="1"/>
  </cols>
  <sheetData>
    <row r="3" spans="1:2" x14ac:dyDescent="0.25">
      <c r="A3" s="8" t="s">
        <v>94</v>
      </c>
      <c r="B3" t="s">
        <v>96</v>
      </c>
    </row>
    <row r="4" spans="1:2" x14ac:dyDescent="0.25">
      <c r="A4" s="9" t="s">
        <v>22</v>
      </c>
      <c r="B4">
        <v>1928</v>
      </c>
    </row>
    <row r="5" spans="1:2" x14ac:dyDescent="0.25">
      <c r="A5" s="9" t="s">
        <v>15</v>
      </c>
      <c r="B5">
        <v>3650</v>
      </c>
    </row>
    <row r="6" spans="1:2" x14ac:dyDescent="0.25">
      <c r="A6" s="9" t="s">
        <v>9</v>
      </c>
      <c r="B6">
        <v>7550</v>
      </c>
    </row>
    <row r="7" spans="1:2" x14ac:dyDescent="0.25">
      <c r="A7" s="9" t="s">
        <v>12</v>
      </c>
      <c r="B7">
        <v>2180</v>
      </c>
    </row>
    <row r="8" spans="1:2" x14ac:dyDescent="0.25">
      <c r="A8" s="9" t="s">
        <v>19</v>
      </c>
      <c r="B8">
        <v>1235</v>
      </c>
    </row>
    <row r="9" spans="1:2" x14ac:dyDescent="0.25">
      <c r="A9" s="9" t="s">
        <v>95</v>
      </c>
      <c r="B9">
        <v>16543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8FAD-F984-4A92-90B5-CFD2C92E258A}">
  <dimension ref="A3:B54"/>
  <sheetViews>
    <sheetView topLeftCell="A5" workbookViewId="0">
      <selection activeCell="O34" sqref="O34"/>
    </sheetView>
  </sheetViews>
  <sheetFormatPr defaultRowHeight="13.2" x14ac:dyDescent="0.25"/>
  <cols>
    <col min="1" max="1" width="13.33203125" bestFit="1" customWidth="1"/>
    <col min="2" max="2" width="17.44140625" bestFit="1" customWidth="1"/>
  </cols>
  <sheetData>
    <row r="3" spans="1:2" x14ac:dyDescent="0.25">
      <c r="A3" s="8" t="s">
        <v>94</v>
      </c>
      <c r="B3" t="s">
        <v>96</v>
      </c>
    </row>
    <row r="4" spans="1:2" x14ac:dyDescent="0.25">
      <c r="A4" s="9" t="s">
        <v>23</v>
      </c>
      <c r="B4">
        <v>200</v>
      </c>
    </row>
    <row r="5" spans="1:2" x14ac:dyDescent="0.25">
      <c r="A5" s="9" t="s">
        <v>59</v>
      </c>
      <c r="B5">
        <v>320</v>
      </c>
    </row>
    <row r="6" spans="1:2" x14ac:dyDescent="0.25">
      <c r="A6" s="9" t="s">
        <v>61</v>
      </c>
      <c r="B6">
        <v>250</v>
      </c>
    </row>
    <row r="7" spans="1:2" x14ac:dyDescent="0.25">
      <c r="A7" s="9" t="s">
        <v>25</v>
      </c>
      <c r="B7">
        <v>180</v>
      </c>
    </row>
    <row r="8" spans="1:2" x14ac:dyDescent="0.25">
      <c r="A8" s="9" t="s">
        <v>63</v>
      </c>
      <c r="B8">
        <v>90</v>
      </c>
    </row>
    <row r="9" spans="1:2" x14ac:dyDescent="0.25">
      <c r="A9" s="9" t="s">
        <v>27</v>
      </c>
      <c r="B9">
        <v>550</v>
      </c>
    </row>
    <row r="10" spans="1:2" x14ac:dyDescent="0.25">
      <c r="A10" s="9" t="s">
        <v>65</v>
      </c>
      <c r="B10">
        <v>176</v>
      </c>
    </row>
    <row r="11" spans="1:2" x14ac:dyDescent="0.25">
      <c r="A11" s="9" t="s">
        <v>29</v>
      </c>
      <c r="B11">
        <v>400</v>
      </c>
    </row>
    <row r="12" spans="1:2" x14ac:dyDescent="0.25">
      <c r="A12" s="9" t="s">
        <v>67</v>
      </c>
      <c r="B12">
        <v>850</v>
      </c>
    </row>
    <row r="13" spans="1:2" x14ac:dyDescent="0.25">
      <c r="A13" s="9" t="s">
        <v>31</v>
      </c>
      <c r="B13">
        <v>200</v>
      </c>
    </row>
    <row r="14" spans="1:2" x14ac:dyDescent="0.25">
      <c r="A14" s="9" t="s">
        <v>69</v>
      </c>
      <c r="B14">
        <v>190</v>
      </c>
    </row>
    <row r="15" spans="1:2" x14ac:dyDescent="0.25">
      <c r="A15" s="9" t="s">
        <v>33</v>
      </c>
      <c r="B15">
        <v>280</v>
      </c>
    </row>
    <row r="16" spans="1:2" x14ac:dyDescent="0.25">
      <c r="A16" s="9" t="s">
        <v>71</v>
      </c>
      <c r="B16">
        <v>375</v>
      </c>
    </row>
    <row r="17" spans="1:2" x14ac:dyDescent="0.25">
      <c r="A17" s="9" t="s">
        <v>35</v>
      </c>
      <c r="B17">
        <v>700</v>
      </c>
    </row>
    <row r="18" spans="1:2" x14ac:dyDescent="0.25">
      <c r="A18" s="9" t="s">
        <v>73</v>
      </c>
      <c r="B18">
        <v>140</v>
      </c>
    </row>
    <row r="19" spans="1:2" x14ac:dyDescent="0.25">
      <c r="A19" s="9" t="s">
        <v>37</v>
      </c>
      <c r="B19">
        <v>280</v>
      </c>
    </row>
    <row r="20" spans="1:2" x14ac:dyDescent="0.25">
      <c r="A20" s="9" t="s">
        <v>75</v>
      </c>
      <c r="B20">
        <v>192</v>
      </c>
    </row>
    <row r="21" spans="1:2" x14ac:dyDescent="0.25">
      <c r="A21" s="9" t="s">
        <v>39</v>
      </c>
      <c r="B21">
        <v>300</v>
      </c>
    </row>
    <row r="22" spans="1:2" x14ac:dyDescent="0.25">
      <c r="A22" s="9" t="s">
        <v>77</v>
      </c>
      <c r="B22">
        <v>800</v>
      </c>
    </row>
    <row r="23" spans="1:2" x14ac:dyDescent="0.25">
      <c r="A23" s="9" t="s">
        <v>41</v>
      </c>
      <c r="B23">
        <v>125</v>
      </c>
    </row>
    <row r="24" spans="1:2" x14ac:dyDescent="0.25">
      <c r="A24" s="9" t="s">
        <v>79</v>
      </c>
      <c r="B24">
        <v>270</v>
      </c>
    </row>
    <row r="25" spans="1:2" x14ac:dyDescent="0.25">
      <c r="A25" s="9" t="s">
        <v>81</v>
      </c>
      <c r="B25">
        <v>525</v>
      </c>
    </row>
    <row r="26" spans="1:2" x14ac:dyDescent="0.25">
      <c r="A26" s="9" t="s">
        <v>43</v>
      </c>
      <c r="B26">
        <v>160</v>
      </c>
    </row>
    <row r="27" spans="1:2" x14ac:dyDescent="0.25">
      <c r="A27" s="9" t="s">
        <v>83</v>
      </c>
      <c r="B27">
        <v>150</v>
      </c>
    </row>
    <row r="28" spans="1:2" x14ac:dyDescent="0.25">
      <c r="A28" s="9" t="s">
        <v>45</v>
      </c>
      <c r="B28">
        <v>500</v>
      </c>
    </row>
    <row r="29" spans="1:2" x14ac:dyDescent="0.25">
      <c r="A29" s="9" t="s">
        <v>47</v>
      </c>
      <c r="B29">
        <v>150</v>
      </c>
    </row>
    <row r="30" spans="1:2" x14ac:dyDescent="0.25">
      <c r="A30" s="10">
        <v>45293</v>
      </c>
      <c r="B30">
        <v>450</v>
      </c>
    </row>
    <row r="31" spans="1:2" x14ac:dyDescent="0.25">
      <c r="A31" s="10">
        <v>45294</v>
      </c>
      <c r="B31">
        <v>208</v>
      </c>
    </row>
    <row r="32" spans="1:2" x14ac:dyDescent="0.25">
      <c r="A32" s="10">
        <v>45324</v>
      </c>
      <c r="B32">
        <v>450</v>
      </c>
    </row>
    <row r="33" spans="1:2" x14ac:dyDescent="0.25">
      <c r="A33" s="10">
        <v>45325</v>
      </c>
      <c r="B33">
        <v>700</v>
      </c>
    </row>
    <row r="34" spans="1:2" x14ac:dyDescent="0.25">
      <c r="A34" s="10">
        <v>45353</v>
      </c>
      <c r="B34">
        <v>175</v>
      </c>
    </row>
    <row r="35" spans="1:2" x14ac:dyDescent="0.25">
      <c r="A35" s="10">
        <v>45354</v>
      </c>
      <c r="B35">
        <v>200</v>
      </c>
    </row>
    <row r="36" spans="1:2" x14ac:dyDescent="0.25">
      <c r="A36" s="10">
        <v>45384</v>
      </c>
      <c r="B36">
        <v>240</v>
      </c>
    </row>
    <row r="37" spans="1:2" x14ac:dyDescent="0.25">
      <c r="A37" s="10">
        <v>45385</v>
      </c>
      <c r="B37">
        <v>425</v>
      </c>
    </row>
    <row r="38" spans="1:2" x14ac:dyDescent="0.25">
      <c r="A38" s="10">
        <v>45413</v>
      </c>
      <c r="B38">
        <v>500</v>
      </c>
    </row>
    <row r="39" spans="1:2" x14ac:dyDescent="0.25">
      <c r="A39" s="10">
        <v>45415</v>
      </c>
      <c r="B39">
        <v>95</v>
      </c>
    </row>
    <row r="40" spans="1:2" x14ac:dyDescent="0.25">
      <c r="A40" s="10">
        <v>45444</v>
      </c>
      <c r="B40">
        <v>200</v>
      </c>
    </row>
    <row r="41" spans="1:2" x14ac:dyDescent="0.25">
      <c r="A41" s="10">
        <v>45445</v>
      </c>
      <c r="B41">
        <v>550</v>
      </c>
    </row>
    <row r="42" spans="1:2" x14ac:dyDescent="0.25">
      <c r="A42" s="10">
        <v>45446</v>
      </c>
      <c r="B42">
        <v>256</v>
      </c>
    </row>
    <row r="43" spans="1:2" x14ac:dyDescent="0.25">
      <c r="A43" s="10">
        <v>45474</v>
      </c>
      <c r="B43">
        <v>375</v>
      </c>
    </row>
    <row r="44" spans="1:2" x14ac:dyDescent="0.25">
      <c r="A44" s="10">
        <v>45475</v>
      </c>
      <c r="B44">
        <v>140</v>
      </c>
    </row>
    <row r="45" spans="1:2" x14ac:dyDescent="0.25">
      <c r="A45" s="10">
        <v>45476</v>
      </c>
      <c r="B45">
        <v>600</v>
      </c>
    </row>
    <row r="46" spans="1:2" x14ac:dyDescent="0.25">
      <c r="A46" s="10">
        <v>45505</v>
      </c>
      <c r="B46">
        <v>250</v>
      </c>
    </row>
    <row r="47" spans="1:2" x14ac:dyDescent="0.25">
      <c r="A47" s="10">
        <v>45506</v>
      </c>
      <c r="B47">
        <v>400</v>
      </c>
    </row>
    <row r="48" spans="1:2" x14ac:dyDescent="0.25">
      <c r="A48" s="10">
        <v>45507</v>
      </c>
      <c r="B48">
        <v>250</v>
      </c>
    </row>
    <row r="49" spans="1:2" x14ac:dyDescent="0.25">
      <c r="A49" s="10">
        <v>45537</v>
      </c>
      <c r="B49">
        <v>110</v>
      </c>
    </row>
    <row r="50" spans="1:2" x14ac:dyDescent="0.25">
      <c r="A50" s="10">
        <v>45566</v>
      </c>
      <c r="B50">
        <v>150</v>
      </c>
    </row>
    <row r="51" spans="1:2" x14ac:dyDescent="0.25">
      <c r="A51" s="10">
        <v>45567</v>
      </c>
      <c r="B51">
        <v>216</v>
      </c>
    </row>
    <row r="52" spans="1:2" x14ac:dyDescent="0.25">
      <c r="A52" s="10">
        <v>45597</v>
      </c>
      <c r="B52">
        <v>600</v>
      </c>
    </row>
    <row r="53" spans="1:2" x14ac:dyDescent="0.25">
      <c r="A53" s="10">
        <v>45628</v>
      </c>
      <c r="B53">
        <v>650</v>
      </c>
    </row>
    <row r="54" spans="1:2" x14ac:dyDescent="0.25">
      <c r="A54" s="9" t="s">
        <v>95</v>
      </c>
      <c r="B54">
        <v>16543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130D-9347-42D4-A0B3-3697A5DC476C}">
  <dimension ref="A1:G7"/>
  <sheetViews>
    <sheetView workbookViewId="0">
      <selection activeCell="D1" sqref="D1:D1048576"/>
    </sheetView>
  </sheetViews>
  <sheetFormatPr defaultRowHeight="13.2" x14ac:dyDescent="0.25"/>
  <cols>
    <col min="3" max="3" width="21.77734375" bestFit="1" customWidth="1"/>
    <col min="4" max="4" width="25" bestFit="1" customWidth="1"/>
    <col min="5" max="5" width="19.5546875" bestFit="1" customWidth="1"/>
  </cols>
  <sheetData>
    <row r="1" spans="1:7" ht="13.8" x14ac:dyDescent="0.25">
      <c r="A1" s="11" t="s">
        <v>97</v>
      </c>
      <c r="B1" s="11" t="s">
        <v>98</v>
      </c>
      <c r="C1" s="11" t="s">
        <v>99</v>
      </c>
      <c r="D1" s="11" t="s">
        <v>100</v>
      </c>
      <c r="E1" s="11" t="s">
        <v>101</v>
      </c>
      <c r="G1" s="11" t="s">
        <v>102</v>
      </c>
    </row>
    <row r="2" spans="1:7" x14ac:dyDescent="0.25">
      <c r="A2" t="s">
        <v>103</v>
      </c>
      <c r="B2">
        <v>500000</v>
      </c>
      <c r="C2">
        <f>B2*10%</f>
        <v>50000</v>
      </c>
      <c r="D2">
        <f>B2*$G$2</f>
        <v>50000</v>
      </c>
      <c r="E2">
        <f>$B2*10%</f>
        <v>50000</v>
      </c>
      <c r="G2">
        <v>0.1</v>
      </c>
    </row>
    <row r="3" spans="1:7" x14ac:dyDescent="0.25">
      <c r="A3" t="s">
        <v>104</v>
      </c>
      <c r="B3">
        <v>10500</v>
      </c>
      <c r="C3">
        <f t="shared" ref="C3:C4" si="0">B3*10%</f>
        <v>1050</v>
      </c>
      <c r="D3">
        <f t="shared" ref="D3:D4" si="1">B3*$G$2</f>
        <v>1050</v>
      </c>
      <c r="E3">
        <f t="shared" ref="E3:E4" si="2">$B3*10%</f>
        <v>1050</v>
      </c>
    </row>
    <row r="4" spans="1:7" x14ac:dyDescent="0.25">
      <c r="A4" t="s">
        <v>105</v>
      </c>
      <c r="B4">
        <v>25000</v>
      </c>
      <c r="C4">
        <f t="shared" si="0"/>
        <v>2500</v>
      </c>
      <c r="D4">
        <f t="shared" si="1"/>
        <v>2500</v>
      </c>
      <c r="E4">
        <f t="shared" si="2"/>
        <v>2500</v>
      </c>
    </row>
    <row r="7" spans="1:7" x14ac:dyDescent="0.25">
      <c r="D7" t="s">
        <v>106</v>
      </c>
      <c r="E7">
        <f>SUM(C2,C3)</f>
        <v>51050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0CFE-38E4-48E8-8FE9-CCCA831EF4A3}">
  <dimension ref="A1:D4"/>
  <sheetViews>
    <sheetView workbookViewId="0">
      <selection activeCell="D17" sqref="D17"/>
    </sheetView>
  </sheetViews>
  <sheetFormatPr defaultRowHeight="13.2" x14ac:dyDescent="0.25"/>
  <cols>
    <col min="4" max="4" width="15.21875" bestFit="1" customWidth="1"/>
  </cols>
  <sheetData>
    <row r="1" spans="1:4" ht="13.8" x14ac:dyDescent="0.25">
      <c r="A1" s="11" t="s">
        <v>107</v>
      </c>
      <c r="B1" s="11" t="s">
        <v>98</v>
      </c>
      <c r="C1" s="11" t="s">
        <v>108</v>
      </c>
      <c r="D1" s="11" t="s">
        <v>109</v>
      </c>
    </row>
    <row r="2" spans="1:4" x14ac:dyDescent="0.25">
      <c r="A2" t="s">
        <v>110</v>
      </c>
      <c r="B2">
        <v>90</v>
      </c>
      <c r="C2">
        <v>1000</v>
      </c>
      <c r="D2">
        <f>AVERAGEIFS(C2:C4,B2:B4,"&gt;100",B2:B4,"&lt;300")</f>
        <v>1350</v>
      </c>
    </row>
    <row r="3" spans="1:4" x14ac:dyDescent="0.25">
      <c r="A3" t="s">
        <v>111</v>
      </c>
      <c r="B3">
        <v>150</v>
      </c>
      <c r="C3">
        <v>1200</v>
      </c>
      <c r="D3">
        <f>AVERAGEIFS(C3:C5,B3:B5,"&gt;100",B3:B5,"&lt;300")</f>
        <v>1350</v>
      </c>
    </row>
    <row r="4" spans="1:4" x14ac:dyDescent="0.25">
      <c r="A4" t="s">
        <v>112</v>
      </c>
      <c r="B4">
        <v>250</v>
      </c>
      <c r="C4">
        <v>1500</v>
      </c>
      <c r="D4">
        <f t="shared" ref="D4" si="0">AVERAGEIFS(C4:C6,B4:B6,"&gt;100",B4:B6,"&lt;300")</f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Sharqua Perween</cp:lastModifiedBy>
  <dcterms:created xsi:type="dcterms:W3CDTF">2026-01-15T16:35:50Z</dcterms:created>
  <dcterms:modified xsi:type="dcterms:W3CDTF">2026-01-15T16:35:50Z</dcterms:modified>
</cp:coreProperties>
</file>